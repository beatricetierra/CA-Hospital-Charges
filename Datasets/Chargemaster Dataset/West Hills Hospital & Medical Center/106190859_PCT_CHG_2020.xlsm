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BOS1895\OSHPD\OSHPD 2015\"/>
    </mc:Choice>
  </mc:AlternateContent>
  <bookViews>
    <workbookView xWindow="120" yWindow="645" windowWidth="15180" windowHeight="8010" tabRatio="845"/>
  </bookViews>
  <sheets>
    <sheet name="Rate Increase 2020" sheetId="11" r:id="rId1"/>
  </sheets>
  <definedNames>
    <definedName name="Data10" localSheetId="0">#REF!</definedName>
    <definedName name="Data10">#REF!</definedName>
    <definedName name="Data11" localSheetId="0">#REF!</definedName>
    <definedName name="Data11">#REF!</definedName>
    <definedName name="Data12" localSheetId="0">#REF!</definedName>
    <definedName name="Data12">#REF!</definedName>
    <definedName name="Data13" localSheetId="0">#REF!</definedName>
    <definedName name="Data13">#REF!</definedName>
    <definedName name="Data14" localSheetId="0">#REF!</definedName>
    <definedName name="Data14">#REF!</definedName>
    <definedName name="Data15" localSheetId="0">#REF!</definedName>
    <definedName name="Data15">#REF!</definedName>
    <definedName name="Data16" localSheetId="0">#REF!</definedName>
    <definedName name="Data16">#REF!</definedName>
    <definedName name="Data17" localSheetId="0">#REF!</definedName>
    <definedName name="Data17">#REF!</definedName>
    <definedName name="Data18" localSheetId="0">#REF!</definedName>
    <definedName name="Data18">#REF!</definedName>
    <definedName name="Data19" localSheetId="0">#REF!</definedName>
    <definedName name="Data19">#REF!</definedName>
    <definedName name="Data2" localSheetId="0">#REF!</definedName>
    <definedName name="Data2">#REF!</definedName>
    <definedName name="Data3" localSheetId="0">#REF!</definedName>
    <definedName name="Data3">#REF!</definedName>
    <definedName name="Data4" localSheetId="0">#REF!</definedName>
    <definedName name="Data4">#REF!</definedName>
    <definedName name="Data5" localSheetId="0">#REF!</definedName>
    <definedName name="Data5">#REF!</definedName>
    <definedName name="Data7" localSheetId="0">#REF!</definedName>
    <definedName name="Data7">#REF!</definedName>
    <definedName name="Data8" localSheetId="0">#REF!</definedName>
    <definedName name="Data8">#REF!</definedName>
    <definedName name="Data9" localSheetId="0">#REF!</definedName>
    <definedName name="Data9">#REF!</definedName>
    <definedName name="_xlnm.Print_Area" localSheetId="0">'Rate Increase 2020'!$A$1:$F$43</definedName>
    <definedName name="_xlnm.Print_Titles" localSheetId="0">'Rate Increase 2020'!$A:$A</definedName>
  </definedNames>
  <calcPr calcId="162913"/>
</workbook>
</file>

<file path=xl/calcChain.xml><?xml version="1.0" encoding="utf-8"?>
<calcChain xmlns="http://schemas.openxmlformats.org/spreadsheetml/2006/main">
  <c r="F44" i="11" l="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45" i="11" l="1"/>
  <c r="D45" i="11" s="1"/>
</calcChain>
</file>

<file path=xl/sharedStrings.xml><?xml version="1.0" encoding="utf-8"?>
<sst xmlns="http://schemas.openxmlformats.org/spreadsheetml/2006/main" count="45" uniqueCount="45">
  <si>
    <t>ICU / CCU</t>
  </si>
  <si>
    <t>Pharmacy</t>
  </si>
  <si>
    <t>IV Therapy</t>
  </si>
  <si>
    <t>Pace Makers</t>
  </si>
  <si>
    <t>Implants</t>
  </si>
  <si>
    <t>Nuclear Medicine</t>
  </si>
  <si>
    <t>CT Scan</t>
  </si>
  <si>
    <t>Operating Room</t>
  </si>
  <si>
    <t>Anesthesia</t>
  </si>
  <si>
    <t>Blood</t>
  </si>
  <si>
    <t>Other Imaging</t>
  </si>
  <si>
    <t>Respiratory Therapy</t>
  </si>
  <si>
    <t>Emergency</t>
  </si>
  <si>
    <t>Pulmonary Function</t>
  </si>
  <si>
    <t>Cardiology</t>
  </si>
  <si>
    <t>Outpatient &amp; Clinics</t>
  </si>
  <si>
    <t>MRI</t>
  </si>
  <si>
    <t>Recovery Room</t>
  </si>
  <si>
    <t>Labor &amp; Delivery Room</t>
  </si>
  <si>
    <t>EKG / EEG</t>
  </si>
  <si>
    <t>Gastro Intestinal Services</t>
  </si>
  <si>
    <t>Observation</t>
  </si>
  <si>
    <t>Other Diagnostic</t>
  </si>
  <si>
    <t>Total</t>
  </si>
  <si>
    <t xml:space="preserve">Routine </t>
  </si>
  <si>
    <t>OB Room &amp; Bed</t>
  </si>
  <si>
    <t>Nursery</t>
  </si>
  <si>
    <t>NICU III</t>
  </si>
  <si>
    <t>NICU IV</t>
  </si>
  <si>
    <t>Supplies</t>
  </si>
  <si>
    <t>Radiology - Diagnostic</t>
  </si>
  <si>
    <t>Radiology - Therapeutic</t>
  </si>
  <si>
    <t>Laboratory</t>
  </si>
  <si>
    <t xml:space="preserve">PT, OT, Speech </t>
  </si>
  <si>
    <t>All Other</t>
  </si>
  <si>
    <t>Other Therapeutic</t>
  </si>
  <si>
    <t>Increase</t>
  </si>
  <si>
    <t>High Cost Drugs</t>
  </si>
  <si>
    <t>Overall Increase 8.00%</t>
  </si>
  <si>
    <t>Rate Increase</t>
  </si>
  <si>
    <t>Charges</t>
  </si>
  <si>
    <t>West Hills Hospital</t>
  </si>
  <si>
    <t>OSHPD ID: 106190859</t>
  </si>
  <si>
    <t>CDM Increase effective 10/01/19</t>
  </si>
  <si>
    <t>Intraocular Lens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</si>
</sst>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0"/>
      <color rgb="FF0000FF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2">
    <xf numFmtId="0" fontId="0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37" fontId="0" fillId="0" borderId="0" xfId="0" applyNumberFormat="1"/>
    <xf numFmtId="0" fontId="4" fillId="0" borderId="0" xfId="0" applyFont="1"/>
    <xf numFmtId="0" fontId="5" fillId="0" borderId="0" xfId="0" applyFont="1"/>
    <xf numFmtId="37" fontId="4" fillId="0" borderId="0" xfId="0" applyNumberFormat="1" applyFont="1"/>
    <xf numFmtId="0" fontId="0" fillId="0" borderId="0" xfId="0" applyBorder="1"/>
    <xf numFmtId="0" fontId="6" fillId="0" borderId="0" xfId="0" applyFont="1"/>
    <xf numFmtId="0" fontId="0" fillId="0" borderId="0" xfId="0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10" fontId="7" fillId="0" borderId="0" xfId="0" applyNumberFormat="1" applyFont="1" applyProtection="1">
      <protection locked="0"/>
    </xf>
    <xf numFmtId="0" fontId="0" fillId="0" borderId="0" xfId="0" applyFill="1"/>
    <xf numFmtId="0" fontId="10" fillId="0" borderId="0" xfId="0" applyFont="1" applyFill="1"/>
    <xf numFmtId="0" fontId="6" fillId="0" borderId="0" xfId="0" applyFont="1" applyFill="1"/>
    <xf numFmtId="0" fontId="8" fillId="0" borderId="0" xfId="0" applyFont="1" applyFill="1"/>
    <xf numFmtId="0" fontId="0" fillId="0" borderId="0" xfId="0" applyFill="1" applyBorder="1"/>
  </cellXfs>
  <cellStyles count="12">
    <cellStyle name="Comma 2" xfId="2"/>
    <cellStyle name="Comma 2 2" xfId="10"/>
    <cellStyle name="Comma 3" xfId="5"/>
    <cellStyle name="Normal" xfId="0" builtinId="0"/>
    <cellStyle name="Normal 2" xfId="1"/>
    <cellStyle name="Normal 2 2" xfId="9"/>
    <cellStyle name="Normal 3" xfId="7"/>
    <cellStyle name="Normal 4" xfId="4"/>
    <cellStyle name="Percent 2" xfId="3"/>
    <cellStyle name="Percent 2 2" xfId="11"/>
    <cellStyle name="Percent 3" xfId="8"/>
    <cellStyle name="Percent 4" xfId="6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  <pageSetUpPr fitToPage="1"/>
  </sheetPr>
  <dimension ref="A1:F45"/>
  <sheetViews>
    <sheetView tabSelected="1" zoomScale="80" zoomScaleNormal="80" workbookViewId="0">
      <pane xSplit="1" ySplit="7" topLeftCell="B11" activePane="bottomRight" state="frozen"/>
      <selection pane="topRight" activeCell="B1" sqref="B1"/>
      <selection pane="bottomLeft" activeCell="A14" sqref="A14"/>
      <selection pane="bottomRight" activeCell="D47" sqref="D47"/>
    </sheetView>
  </sheetViews>
  <sheetFormatPr defaultRowHeight="12.75" x14ac:dyDescent="0.2"/>
  <cols>
    <col min="1" max="1" width="23" customWidth="1"/>
    <col min="2" max="2" width="14.7109375" customWidth="1"/>
    <col min="3" max="3" width="1.7109375" customWidth="1"/>
    <col min="4" max="4" width="14.7109375" customWidth="1"/>
    <col min="5" max="5" width="1.7109375" customWidth="1"/>
    <col min="6" max="6" width="16.7109375" customWidth="1"/>
  </cols>
  <sheetData>
    <row r="1" spans="1:6" ht="15.75" x14ac:dyDescent="0.25">
      <c r="A1" s="11" t="s">
        <v>41</v>
      </c>
      <c r="B1" s="12"/>
      <c r="C1" s="6"/>
      <c r="D1" s="6"/>
      <c r="E1" s="6"/>
      <c r="F1" s="6"/>
    </row>
    <row r="2" spans="1:6" ht="15.75" x14ac:dyDescent="0.25">
      <c r="A2" s="11" t="s">
        <v>42</v>
      </c>
      <c r="B2" s="12"/>
      <c r="C2" s="6"/>
      <c r="D2" s="6"/>
      <c r="E2" s="6"/>
      <c r="F2" s="6"/>
    </row>
    <row r="3" spans="1:6" ht="15.75" x14ac:dyDescent="0.25">
      <c r="A3" s="11" t="s">
        <v>43</v>
      </c>
      <c r="B3" s="12"/>
      <c r="C3" s="6"/>
      <c r="D3" s="6"/>
      <c r="E3" s="6"/>
      <c r="F3" s="6"/>
    </row>
    <row r="4" spans="1:6" ht="12.75" customHeight="1" x14ac:dyDescent="0.2">
      <c r="A4" s="11" t="s">
        <v>38</v>
      </c>
      <c r="B4" s="13"/>
      <c r="F4" s="3"/>
    </row>
    <row r="5" spans="1:6" ht="12.75" customHeight="1" x14ac:dyDescent="0.2">
      <c r="A5" s="10"/>
      <c r="B5" s="10"/>
    </row>
    <row r="6" spans="1:6" s="5" customFormat="1" x14ac:dyDescent="0.2">
      <c r="A6" s="14"/>
      <c r="B6" s="8" t="s">
        <v>40</v>
      </c>
      <c r="C6" s="7"/>
      <c r="D6" s="7" t="s">
        <v>39</v>
      </c>
      <c r="E6" s="7"/>
      <c r="F6" s="7" t="s">
        <v>36</v>
      </c>
    </row>
    <row r="7" spans="1:6" ht="12.75" customHeight="1" x14ac:dyDescent="0.2">
      <c r="A7" s="10"/>
      <c r="B7" s="10"/>
    </row>
    <row r="8" spans="1:6" x14ac:dyDescent="0.2">
      <c r="A8" t="s">
        <v>25</v>
      </c>
      <c r="B8" s="1">
        <v>8417100</v>
      </c>
      <c r="D8" s="9">
        <v>0.09</v>
      </c>
      <c r="F8" s="1">
        <f>+B8*D8</f>
        <v>757539</v>
      </c>
    </row>
    <row r="9" spans="1:6" x14ac:dyDescent="0.2">
      <c r="A9" t="s">
        <v>18</v>
      </c>
      <c r="B9" s="1">
        <v>8751471</v>
      </c>
      <c r="D9" s="9">
        <v>0.09</v>
      </c>
      <c r="F9" s="1">
        <f t="shared" ref="F9:F44" si="0">+B9*D9</f>
        <v>787632.39</v>
      </c>
    </row>
    <row r="10" spans="1:6" x14ac:dyDescent="0.2">
      <c r="A10" t="s">
        <v>26</v>
      </c>
      <c r="B10" s="1">
        <v>5256380</v>
      </c>
      <c r="D10" s="9">
        <v>0.09</v>
      </c>
      <c r="F10" s="1">
        <f t="shared" si="0"/>
        <v>473074.19999999995</v>
      </c>
    </row>
    <row r="11" spans="1:6" x14ac:dyDescent="0.2">
      <c r="A11" t="s">
        <v>27</v>
      </c>
      <c r="B11" s="1">
        <v>5363252</v>
      </c>
      <c r="D11" s="9">
        <v>0.09</v>
      </c>
      <c r="F11" s="1">
        <f t="shared" si="0"/>
        <v>482692.68</v>
      </c>
    </row>
    <row r="12" spans="1:6" x14ac:dyDescent="0.2">
      <c r="A12" t="s">
        <v>7</v>
      </c>
      <c r="B12" s="1">
        <v>203407835</v>
      </c>
      <c r="D12" s="9">
        <v>9.5000000000000001E-2</v>
      </c>
      <c r="F12" s="1">
        <f t="shared" si="0"/>
        <v>19323744.324999999</v>
      </c>
    </row>
    <row r="13" spans="1:6" x14ac:dyDescent="0.2">
      <c r="A13" t="s">
        <v>28</v>
      </c>
      <c r="B13" s="1">
        <v>1045707</v>
      </c>
      <c r="D13" s="9">
        <v>0.09</v>
      </c>
      <c r="F13" s="1">
        <f t="shared" si="0"/>
        <v>94113.62999999999</v>
      </c>
    </row>
    <row r="14" spans="1:6" x14ac:dyDescent="0.2">
      <c r="A14" t="s">
        <v>29</v>
      </c>
      <c r="B14" s="1">
        <v>152609892</v>
      </c>
      <c r="D14" s="9">
        <v>0.08</v>
      </c>
      <c r="F14" s="1">
        <f t="shared" si="0"/>
        <v>12208791.359999999</v>
      </c>
    </row>
    <row r="15" spans="1:6" x14ac:dyDescent="0.2">
      <c r="A15" t="s">
        <v>37</v>
      </c>
      <c r="B15" s="1">
        <v>133388029</v>
      </c>
      <c r="D15" s="9">
        <v>0.06</v>
      </c>
      <c r="F15" s="1">
        <f t="shared" si="0"/>
        <v>8003281.7399999993</v>
      </c>
    </row>
    <row r="16" spans="1:6" x14ac:dyDescent="0.2">
      <c r="A16" t="s">
        <v>24</v>
      </c>
      <c r="B16" s="1">
        <v>223659801</v>
      </c>
      <c r="D16" s="9">
        <v>0.08</v>
      </c>
      <c r="F16" s="1">
        <f t="shared" si="0"/>
        <v>17892784.080000002</v>
      </c>
    </row>
    <row r="17" spans="1:6" x14ac:dyDescent="0.2">
      <c r="A17" t="s">
        <v>44</v>
      </c>
      <c r="B17" s="1">
        <v>8632</v>
      </c>
      <c r="D17" s="9">
        <v>0.08</v>
      </c>
      <c r="F17" s="1">
        <f t="shared" si="0"/>
        <v>690.56000000000006</v>
      </c>
    </row>
    <row r="18" spans="1:6" x14ac:dyDescent="0.2">
      <c r="A18" t="s">
        <v>8</v>
      </c>
      <c r="B18" s="1">
        <v>26983608</v>
      </c>
      <c r="D18" s="9">
        <v>0.08</v>
      </c>
      <c r="F18" s="1">
        <f t="shared" si="0"/>
        <v>2158688.64</v>
      </c>
    </row>
    <row r="19" spans="1:6" x14ac:dyDescent="0.2">
      <c r="A19" t="s">
        <v>10</v>
      </c>
      <c r="B19" s="1">
        <v>28700381</v>
      </c>
      <c r="D19" s="9">
        <v>7.0000000000000007E-2</v>
      </c>
      <c r="F19" s="1">
        <f t="shared" si="0"/>
        <v>2009026.6700000002</v>
      </c>
    </row>
    <row r="20" spans="1:6" x14ac:dyDescent="0.2">
      <c r="A20" t="s">
        <v>17</v>
      </c>
      <c r="B20" s="1">
        <v>13994347</v>
      </c>
      <c r="D20" s="9">
        <v>0.08</v>
      </c>
      <c r="F20" s="1">
        <f t="shared" si="0"/>
        <v>1119547.76</v>
      </c>
    </row>
    <row r="21" spans="1:6" x14ac:dyDescent="0.2">
      <c r="A21" t="s">
        <v>15</v>
      </c>
      <c r="B21" s="1">
        <v>1046500</v>
      </c>
      <c r="D21" s="9">
        <v>0.08</v>
      </c>
      <c r="F21" s="1">
        <f t="shared" si="0"/>
        <v>83720</v>
      </c>
    </row>
    <row r="22" spans="1:6" x14ac:dyDescent="0.2">
      <c r="A22" t="s">
        <v>35</v>
      </c>
      <c r="B22" s="1">
        <v>4339524</v>
      </c>
      <c r="D22" s="9">
        <v>0.08</v>
      </c>
      <c r="F22" s="1">
        <f t="shared" si="0"/>
        <v>347161.92</v>
      </c>
    </row>
    <row r="23" spans="1:6" x14ac:dyDescent="0.2">
      <c r="A23" t="s">
        <v>12</v>
      </c>
      <c r="B23" s="1">
        <v>192524380</v>
      </c>
      <c r="D23" s="9">
        <v>0.08</v>
      </c>
      <c r="F23" s="1">
        <f t="shared" si="0"/>
        <v>15401950.4</v>
      </c>
    </row>
    <row r="24" spans="1:6" x14ac:dyDescent="0.2">
      <c r="A24" t="s">
        <v>22</v>
      </c>
      <c r="B24" s="1">
        <v>8030095</v>
      </c>
      <c r="D24" s="9">
        <v>7.0000000000000007E-2</v>
      </c>
      <c r="F24" s="1">
        <f t="shared" si="0"/>
        <v>562106.65</v>
      </c>
    </row>
    <row r="25" spans="1:6" x14ac:dyDescent="0.2">
      <c r="A25" t="s">
        <v>32</v>
      </c>
      <c r="B25" s="1">
        <v>294550522</v>
      </c>
      <c r="D25" s="9">
        <v>0.09</v>
      </c>
      <c r="F25" s="1">
        <f t="shared" si="0"/>
        <v>26509546.98</v>
      </c>
    </row>
    <row r="26" spans="1:6" x14ac:dyDescent="0.2">
      <c r="A26" t="s">
        <v>16</v>
      </c>
      <c r="B26" s="1">
        <v>14728484</v>
      </c>
      <c r="D26" s="9">
        <v>7.0000000000000007E-2</v>
      </c>
      <c r="F26" s="1">
        <f t="shared" si="0"/>
        <v>1030993.8800000001</v>
      </c>
    </row>
    <row r="27" spans="1:6" x14ac:dyDescent="0.2">
      <c r="A27" t="s">
        <v>6</v>
      </c>
      <c r="B27" s="1">
        <v>213834373</v>
      </c>
      <c r="D27" s="9">
        <v>7.0000000000000007E-2</v>
      </c>
      <c r="F27" s="1">
        <f t="shared" si="0"/>
        <v>14968406.110000001</v>
      </c>
    </row>
    <row r="28" spans="1:6" x14ac:dyDescent="0.2">
      <c r="A28" t="s">
        <v>14</v>
      </c>
      <c r="B28" s="1">
        <v>83506464</v>
      </c>
      <c r="D28" s="9">
        <v>0.09</v>
      </c>
      <c r="F28" s="1">
        <f t="shared" si="0"/>
        <v>7515581.7599999998</v>
      </c>
    </row>
    <row r="29" spans="1:6" x14ac:dyDescent="0.2">
      <c r="A29" t="s">
        <v>2</v>
      </c>
      <c r="B29" s="1">
        <v>1591240</v>
      </c>
      <c r="D29" s="9">
        <v>0.08</v>
      </c>
      <c r="F29" s="1">
        <f t="shared" si="0"/>
        <v>127299.2</v>
      </c>
    </row>
    <row r="30" spans="1:6" x14ac:dyDescent="0.2">
      <c r="A30" t="s">
        <v>1</v>
      </c>
      <c r="B30" s="1">
        <v>50796666</v>
      </c>
      <c r="D30" s="9">
        <v>0.08</v>
      </c>
      <c r="F30" s="1">
        <f t="shared" si="0"/>
        <v>4063733.2800000003</v>
      </c>
    </row>
    <row r="31" spans="1:6" x14ac:dyDescent="0.2">
      <c r="A31" t="s">
        <v>4</v>
      </c>
      <c r="B31" s="1">
        <v>47338952</v>
      </c>
      <c r="D31" s="9">
        <v>0.06</v>
      </c>
      <c r="F31" s="1">
        <f t="shared" si="0"/>
        <v>2840337.12</v>
      </c>
    </row>
    <row r="32" spans="1:6" x14ac:dyDescent="0.2">
      <c r="A32" t="s">
        <v>19</v>
      </c>
      <c r="B32" s="1">
        <v>27292046</v>
      </c>
      <c r="D32" s="9">
        <v>0.08</v>
      </c>
      <c r="F32" s="1">
        <f t="shared" si="0"/>
        <v>2183363.6800000002</v>
      </c>
    </row>
    <row r="33" spans="1:6" x14ac:dyDescent="0.2">
      <c r="A33" t="s">
        <v>30</v>
      </c>
      <c r="B33" s="1">
        <v>40305878</v>
      </c>
      <c r="D33" s="9">
        <v>0.06</v>
      </c>
      <c r="F33" s="1">
        <f t="shared" si="0"/>
        <v>2418352.6799999997</v>
      </c>
    </row>
    <row r="34" spans="1:6" x14ac:dyDescent="0.2">
      <c r="A34" t="s">
        <v>21</v>
      </c>
      <c r="B34" s="1">
        <v>33253106</v>
      </c>
      <c r="D34" s="9">
        <v>0.08</v>
      </c>
      <c r="F34" s="1">
        <f t="shared" si="0"/>
        <v>2660248.48</v>
      </c>
    </row>
    <row r="35" spans="1:6" x14ac:dyDescent="0.2">
      <c r="A35" t="s">
        <v>5</v>
      </c>
      <c r="B35" s="1">
        <v>19395397</v>
      </c>
      <c r="D35" s="9">
        <v>0.08</v>
      </c>
      <c r="F35" s="1">
        <f t="shared" si="0"/>
        <v>1551631.76</v>
      </c>
    </row>
    <row r="36" spans="1:6" x14ac:dyDescent="0.2">
      <c r="A36" t="s">
        <v>9</v>
      </c>
      <c r="B36" s="1">
        <v>1868175</v>
      </c>
      <c r="D36" s="9">
        <v>0.08</v>
      </c>
      <c r="F36" s="1">
        <f t="shared" si="0"/>
        <v>149454</v>
      </c>
    </row>
    <row r="37" spans="1:6" x14ac:dyDescent="0.2">
      <c r="A37" t="s">
        <v>20</v>
      </c>
      <c r="B37" s="1">
        <v>5086655</v>
      </c>
      <c r="D37" s="9">
        <v>0.08</v>
      </c>
      <c r="F37" s="1">
        <f t="shared" si="0"/>
        <v>406932.4</v>
      </c>
    </row>
    <row r="38" spans="1:6" x14ac:dyDescent="0.2">
      <c r="A38" t="s">
        <v>0</v>
      </c>
      <c r="B38" s="1">
        <v>75378572</v>
      </c>
      <c r="D38" s="9">
        <v>0.08</v>
      </c>
      <c r="F38" s="1">
        <f t="shared" si="0"/>
        <v>6030285.7599999998</v>
      </c>
    </row>
    <row r="39" spans="1:6" x14ac:dyDescent="0.2">
      <c r="A39" t="s">
        <v>33</v>
      </c>
      <c r="B39" s="1">
        <v>22721107</v>
      </c>
      <c r="D39" s="9">
        <v>0.08</v>
      </c>
      <c r="F39" s="1">
        <f t="shared" si="0"/>
        <v>1817688.56</v>
      </c>
    </row>
    <row r="40" spans="1:6" x14ac:dyDescent="0.2">
      <c r="A40" t="s">
        <v>11</v>
      </c>
      <c r="B40" s="1">
        <v>84776528</v>
      </c>
      <c r="D40" s="9">
        <v>0.08</v>
      </c>
      <c r="F40" s="1">
        <f t="shared" si="0"/>
        <v>6782122.2400000002</v>
      </c>
    </row>
    <row r="41" spans="1:6" x14ac:dyDescent="0.2">
      <c r="A41" t="s">
        <v>34</v>
      </c>
      <c r="B41" s="1">
        <v>8298132</v>
      </c>
      <c r="D41" s="9">
        <v>0.08</v>
      </c>
      <c r="F41" s="1">
        <f t="shared" si="0"/>
        <v>663850.56000000006</v>
      </c>
    </row>
    <row r="42" spans="1:6" x14ac:dyDescent="0.2">
      <c r="A42" t="s">
        <v>3</v>
      </c>
      <c r="B42" s="1">
        <v>7124737</v>
      </c>
      <c r="D42" s="9">
        <v>0.08</v>
      </c>
      <c r="F42" s="1">
        <f t="shared" si="0"/>
        <v>569978.96</v>
      </c>
    </row>
    <row r="43" spans="1:6" x14ac:dyDescent="0.2">
      <c r="A43" t="s">
        <v>13</v>
      </c>
      <c r="B43" s="1">
        <v>1170373</v>
      </c>
      <c r="D43" s="9">
        <v>0.08</v>
      </c>
      <c r="F43" s="1">
        <f t="shared" si="0"/>
        <v>93629.84</v>
      </c>
    </row>
    <row r="44" spans="1:6" x14ac:dyDescent="0.2">
      <c r="A44" t="s">
        <v>31</v>
      </c>
      <c r="B44" s="1">
        <v>189690</v>
      </c>
      <c r="D44" s="9">
        <v>0.08</v>
      </c>
      <c r="F44" s="1">
        <f t="shared" si="0"/>
        <v>15175.2</v>
      </c>
    </row>
    <row r="45" spans="1:6" x14ac:dyDescent="0.2">
      <c r="A45" s="2" t="s">
        <v>23</v>
      </c>
      <c r="B45" s="4">
        <v>2050734151</v>
      </c>
      <c r="D45" s="9">
        <f>+F45/B45</f>
        <v>8.0022638904695367E-2</v>
      </c>
      <c r="F45" s="1">
        <f>SUM(F8:F44)</f>
        <v>164105158.45500001</v>
      </c>
    </row>
  </sheetData>
  <printOptions horizontalCentered="1"/>
  <pageMargins left="0.25" right="0.25" top="0.25" bottom="0.5" header="0.25" footer="0.25"/>
  <pageSetup orientation="portrait" r:id="rId1"/>
  <headerFooter alignWithMargins="0">
    <oddHeader>&amp;R&amp;"Arial,Bold"&amp;12&amp;A</oddHeader>
    <oddFooter>&amp;R&amp;F / &amp;A     &amp;D / &amp;T    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Rate Increase 2020</vt:lpstr>
      <vt:lpstr>'Rate Increase 2020'!Print_Area</vt:lpstr>
      <vt:lpstr>'Rate Increase 2020'!Print_Titles</vt:lpstr>
    </vt:vector>
  </TitlesOfParts>
  <Company>HCA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jhr8050</dc:creator>
  <cp:lastModifiedBy>bos1895</cp:lastModifiedBy>
  <cp:lastPrinted>2015-06-10T15:34:48Z</cp:lastPrinted>
  <dcterms:created xsi:type="dcterms:W3CDTF">2008-05-06T16:04:02Z</dcterms:created>
  <dcterms:modified xsi:type="dcterms:W3CDTF">2020-07-02T22:21:49Z</dcterms:modified>
</cp:coreProperties>
</file>